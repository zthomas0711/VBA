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achary\Desktop\My Projects\Projects\VBA\"/>
    </mc:Choice>
  </mc:AlternateContent>
  <bookViews>
    <workbookView xWindow="0" yWindow="0" windowWidth="16392" windowHeight="5664" activeTab="1"/>
  </bookViews>
  <sheets>
    <sheet name="September 2014" sheetId="1" r:id="rId1"/>
    <sheet name="September Transaction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B15" i="1" l="1"/>
</calcChain>
</file>

<file path=xl/sharedStrings.xml><?xml version="1.0" encoding="utf-8"?>
<sst xmlns="http://schemas.openxmlformats.org/spreadsheetml/2006/main" count="87" uniqueCount="57">
  <si>
    <t>Expenses</t>
  </si>
  <si>
    <t>Income</t>
  </si>
  <si>
    <t>Expected</t>
  </si>
  <si>
    <t>Actual</t>
  </si>
  <si>
    <t>Category</t>
  </si>
  <si>
    <t>Rent</t>
  </si>
  <si>
    <t>Chase</t>
  </si>
  <si>
    <t>AT&amp;T</t>
  </si>
  <si>
    <t>T mobile</t>
  </si>
  <si>
    <t>Sams</t>
  </si>
  <si>
    <t>Renters Ins</t>
  </si>
  <si>
    <t>Savings</t>
  </si>
  <si>
    <t>Gym</t>
  </si>
  <si>
    <t>Car Ins</t>
  </si>
  <si>
    <t>Car</t>
  </si>
  <si>
    <t>Water</t>
  </si>
  <si>
    <t>Electric</t>
  </si>
  <si>
    <t>Credit Card</t>
  </si>
  <si>
    <t>Wedding</t>
  </si>
  <si>
    <t>Utilities</t>
  </si>
  <si>
    <t>Car/Insurances</t>
  </si>
  <si>
    <t>Gas</t>
  </si>
  <si>
    <t>Credit/Debt</t>
  </si>
  <si>
    <t>Food</t>
  </si>
  <si>
    <t>Other</t>
  </si>
  <si>
    <t>Source</t>
  </si>
  <si>
    <t>Work</t>
  </si>
  <si>
    <t>401k</t>
  </si>
  <si>
    <t>Total</t>
  </si>
  <si>
    <t>Fin Aid</t>
  </si>
  <si>
    <t>Income Tax</t>
  </si>
  <si>
    <t>Dates</t>
  </si>
  <si>
    <t>Expense</t>
  </si>
  <si>
    <t>September Transactions</t>
  </si>
  <si>
    <t xml:space="preserve">Checking </t>
  </si>
  <si>
    <t>Transaction</t>
  </si>
  <si>
    <t>Start</t>
  </si>
  <si>
    <t>Finish</t>
  </si>
  <si>
    <t>Account</t>
  </si>
  <si>
    <t>End</t>
  </si>
  <si>
    <t>Tithes/Offering</t>
  </si>
  <si>
    <t>Amount</t>
  </si>
  <si>
    <t>Date</t>
  </si>
  <si>
    <t>Gas station</t>
  </si>
  <si>
    <t>Overdraft</t>
  </si>
  <si>
    <t>Paycheck</t>
  </si>
  <si>
    <t>Subway</t>
  </si>
  <si>
    <t>Tithes/Offerings</t>
  </si>
  <si>
    <t>Gas Station</t>
  </si>
  <si>
    <t>Transfer from Savings</t>
  </si>
  <si>
    <t>Hotel</t>
  </si>
  <si>
    <t>Groceries</t>
  </si>
  <si>
    <t>Carls Jr.</t>
  </si>
  <si>
    <t>Redbox</t>
  </si>
  <si>
    <t>Current Remaining</t>
  </si>
  <si>
    <t>Transfer to Savings</t>
  </si>
  <si>
    <t>Renters Insurance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</si>
</sst>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Font="1"/>
    <xf numFmtId="44" fontId="0" fillId="0" borderId="0" xfId="1" applyFont="1"/>
    <xf numFmtId="44" fontId="0" fillId="0" borderId="1" xfId="1" applyFont="1" applyBorder="1"/>
    <xf numFmtId="44" fontId="2" fillId="0" borderId="1" xfId="1" applyFont="1" applyBorder="1" applyAlignment="1">
      <alignment horizontal="center"/>
    </xf>
    <xf numFmtId="0" fontId="0" fillId="0" borderId="1" xfId="0" applyBorder="1"/>
    <xf numFmtId="44" fontId="1" fillId="0" borderId="1" xfId="1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2" fillId="0" borderId="1" xfId="0" applyFont="1" applyBorder="1" applyAlignment="1"/>
    <xf numFmtId="44" fontId="2" fillId="0" borderId="1" xfId="1" applyFont="1" applyBorder="1"/>
    <xf numFmtId="0" fontId="3" fillId="0" borderId="1" xfId="0" applyFont="1" applyBorder="1" applyAlignment="1"/>
    <xf numFmtId="44" fontId="3" fillId="0" borderId="1" xfId="1" applyFont="1" applyBorder="1" applyAlignment="1">
      <alignment horizontal="center"/>
    </xf>
    <xf numFmtId="44" fontId="1" fillId="0" borderId="1" xfId="1" applyFont="1" applyBorder="1"/>
    <xf numFmtId="0" fontId="0" fillId="0" borderId="1" xfId="0" applyFont="1" applyBorder="1" applyAlignment="1">
      <alignment horizontal="center"/>
    </xf>
    <xf numFmtId="14" fontId="0" fillId="0" borderId="1" xfId="0" applyNumberFormat="1" applyBorder="1" applyAlignment="1"/>
    <xf numFmtId="14" fontId="0" fillId="0" borderId="0" xfId="0" applyNumberFormat="1"/>
    <xf numFmtId="16" fontId="0" fillId="0" borderId="0" xfId="0" applyNumberFormat="1"/>
    <xf numFmtId="14" fontId="4" fillId="0" borderId="0" xfId="0" applyNumberFormat="1" applyFont="1"/>
    <xf numFmtId="0" fontId="2" fillId="0" borderId="1" xfId="0" applyFont="1" applyBorder="1" applyAlignment="1">
      <alignment horizontal="center"/>
    </xf>
    <xf numFmtId="44" fontId="3" fillId="0" borderId="1" xfId="1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44" fontId="0" fillId="0" borderId="2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4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7"/>
  <sheetViews>
    <sheetView workbookViewId="0">
      <selection activeCell="K43" sqref="K8:L43"/>
    </sheetView>
  </sheetViews>
  <sheetFormatPr defaultRowHeight="14.4" x14ac:dyDescent="0.3"/>
  <cols>
    <col min="1" max="1" width="15.33203125" style="2" bestFit="1" customWidth="1"/>
    <col min="2" max="2" width="10.109375" style="2" bestFit="1" customWidth="1"/>
    <col min="3" max="3" width="8.88671875" style="2"/>
    <col min="4" max="4" width="17.33203125" style="2" bestFit="1" customWidth="1"/>
    <col min="5" max="5" width="10.109375" bestFit="1" customWidth="1"/>
    <col min="6" max="6" width="9.5546875" bestFit="1" customWidth="1"/>
    <col min="11" max="11" width="10.109375" bestFit="1" customWidth="1"/>
    <col min="12" max="12" width="9.5546875" bestFit="1" customWidth="1"/>
    <col min="13" max="14" width="9.6640625" bestFit="1" customWidth="1"/>
  </cols>
  <sheetData>
    <row r="1" spans="1:14" x14ac:dyDescent="0.3">
      <c r="A1" s="2" t="s">
        <v>38</v>
      </c>
      <c r="B1" s="2" t="s">
        <v>36</v>
      </c>
      <c r="C1" s="2" t="s">
        <v>39</v>
      </c>
      <c r="D1" s="2" t="s">
        <v>54</v>
      </c>
    </row>
    <row r="2" spans="1:14" x14ac:dyDescent="0.3">
      <c r="A2" s="2" t="s">
        <v>34</v>
      </c>
      <c r="D2" s="2">
        <f>SUM(E9:N15)-SUM(E19:N43)</f>
        <v>151.94999999999993</v>
      </c>
    </row>
    <row r="3" spans="1:14" x14ac:dyDescent="0.3">
      <c r="A3" s="2" t="s">
        <v>11</v>
      </c>
    </row>
    <row r="5" spans="1:14" x14ac:dyDescent="0.3">
      <c r="A5" s="3"/>
      <c r="B5" s="3"/>
      <c r="C5" s="3"/>
      <c r="D5" s="3"/>
      <c r="E5" s="18" t="s">
        <v>31</v>
      </c>
      <c r="F5" s="18"/>
      <c r="G5" s="18"/>
      <c r="H5" s="18"/>
      <c r="I5" s="18"/>
      <c r="J5" s="18"/>
      <c r="K5" s="18"/>
      <c r="L5" s="18"/>
      <c r="M5" s="18"/>
      <c r="N5" s="18"/>
    </row>
    <row r="6" spans="1:14" s="1" customFormat="1" x14ac:dyDescent="0.3">
      <c r="A6" s="12"/>
      <c r="B6" s="12"/>
      <c r="C6" s="12"/>
      <c r="D6" s="12"/>
      <c r="E6" s="13" t="s">
        <v>36</v>
      </c>
      <c r="F6" s="13" t="s">
        <v>37</v>
      </c>
      <c r="G6" s="13" t="s">
        <v>36</v>
      </c>
      <c r="H6" s="13" t="s">
        <v>37</v>
      </c>
      <c r="I6" s="13" t="s">
        <v>36</v>
      </c>
      <c r="J6" s="13" t="s">
        <v>37</v>
      </c>
      <c r="K6" s="13" t="s">
        <v>36</v>
      </c>
      <c r="L6" s="13" t="s">
        <v>37</v>
      </c>
      <c r="M6" s="13" t="s">
        <v>36</v>
      </c>
      <c r="N6" s="13" t="s">
        <v>37</v>
      </c>
    </row>
    <row r="7" spans="1:14" x14ac:dyDescent="0.3">
      <c r="A7" s="20" t="s">
        <v>1</v>
      </c>
      <c r="B7" s="20"/>
      <c r="C7" s="3"/>
      <c r="D7" s="3"/>
      <c r="E7" s="14"/>
      <c r="F7" s="14"/>
      <c r="G7" s="14"/>
      <c r="H7" s="14"/>
      <c r="I7" s="14"/>
      <c r="J7" s="14"/>
      <c r="K7" s="14">
        <v>41905</v>
      </c>
      <c r="L7" s="14">
        <v>41908</v>
      </c>
      <c r="M7" s="14">
        <v>41909</v>
      </c>
      <c r="N7" s="14">
        <v>41914</v>
      </c>
    </row>
    <row r="8" spans="1:14" x14ac:dyDescent="0.3">
      <c r="A8" s="4" t="s">
        <v>25</v>
      </c>
      <c r="B8" s="4" t="s">
        <v>2</v>
      </c>
      <c r="C8" s="9" t="s">
        <v>3</v>
      </c>
      <c r="D8" s="3"/>
      <c r="E8" s="21" t="s">
        <v>1</v>
      </c>
      <c r="F8" s="22"/>
      <c r="G8" s="21" t="s">
        <v>1</v>
      </c>
      <c r="H8" s="22"/>
      <c r="I8" s="21" t="s">
        <v>1</v>
      </c>
      <c r="J8" s="22"/>
      <c r="K8" s="21" t="s">
        <v>1</v>
      </c>
      <c r="L8" s="22"/>
      <c r="M8" s="21" t="s">
        <v>1</v>
      </c>
      <c r="N8" s="22"/>
    </row>
    <row r="9" spans="1:14" x14ac:dyDescent="0.3">
      <c r="A9" s="6" t="s">
        <v>26</v>
      </c>
      <c r="B9" s="6">
        <v>4073</v>
      </c>
      <c r="C9" s="3"/>
      <c r="D9" s="3"/>
      <c r="E9" s="3"/>
      <c r="F9" s="3"/>
      <c r="G9" s="3"/>
      <c r="H9" s="3"/>
      <c r="I9" s="3"/>
      <c r="J9" s="3"/>
      <c r="K9" s="3">
        <v>1099.71</v>
      </c>
      <c r="L9" s="3"/>
      <c r="M9" s="3"/>
      <c r="N9" s="3"/>
    </row>
    <row r="10" spans="1:14" x14ac:dyDescent="0.3">
      <c r="A10" s="6" t="s">
        <v>27</v>
      </c>
      <c r="B10" s="6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x14ac:dyDescent="0.3">
      <c r="A11" s="7" t="s">
        <v>29</v>
      </c>
      <c r="B11" s="6">
        <v>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x14ac:dyDescent="0.3">
      <c r="A12" s="7" t="s">
        <v>30</v>
      </c>
      <c r="B12" s="6">
        <v>0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x14ac:dyDescent="0.3">
      <c r="A13" s="7" t="s">
        <v>11</v>
      </c>
      <c r="B13" s="6">
        <v>0</v>
      </c>
      <c r="C13" s="3"/>
      <c r="D13" s="3"/>
      <c r="E13" s="3"/>
      <c r="F13" s="3"/>
      <c r="G13" s="3"/>
      <c r="H13" s="3"/>
      <c r="I13" s="3"/>
      <c r="J13" s="3"/>
      <c r="K13" s="3">
        <v>40</v>
      </c>
      <c r="L13" s="3"/>
      <c r="M13" s="3"/>
      <c r="N13" s="3"/>
    </row>
    <row r="14" spans="1:14" x14ac:dyDescent="0.3">
      <c r="A14" s="7" t="s">
        <v>24</v>
      </c>
      <c r="B14" s="6">
        <v>0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x14ac:dyDescent="0.3">
      <c r="A15" s="6" t="s">
        <v>28</v>
      </c>
      <c r="B15" s="6">
        <f>SUM(B9:B14)</f>
        <v>4073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3">
      <c r="A17" s="20" t="s">
        <v>0</v>
      </c>
      <c r="B17" s="20"/>
      <c r="C17" s="8"/>
      <c r="D17" s="8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3">
      <c r="A18" s="9" t="s">
        <v>4</v>
      </c>
      <c r="B18" s="9" t="s">
        <v>2</v>
      </c>
      <c r="C18" s="9" t="s">
        <v>3</v>
      </c>
      <c r="D18" s="9"/>
      <c r="E18" s="23" t="s">
        <v>32</v>
      </c>
      <c r="F18" s="24"/>
      <c r="G18" s="23" t="s">
        <v>32</v>
      </c>
      <c r="H18" s="24"/>
      <c r="I18" s="23" t="s">
        <v>32</v>
      </c>
      <c r="J18" s="24"/>
      <c r="K18" s="23" t="s">
        <v>32</v>
      </c>
      <c r="L18" s="24"/>
      <c r="M18" s="3"/>
      <c r="N18" s="3"/>
    </row>
    <row r="19" spans="1:14" x14ac:dyDescent="0.3">
      <c r="A19" s="19" t="s">
        <v>19</v>
      </c>
      <c r="B19" s="19"/>
      <c r="C19" s="10"/>
      <c r="D19" s="10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3">
      <c r="A20" s="3" t="s">
        <v>5</v>
      </c>
      <c r="B20" s="3">
        <v>1290</v>
      </c>
      <c r="C20" s="3">
        <f>SUM(E20:L20)</f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3">
      <c r="A21" s="3" t="s">
        <v>7</v>
      </c>
      <c r="B21" s="3">
        <v>40</v>
      </c>
      <c r="C21" s="3">
        <f t="shared" ref="C21:C43" si="0">SUM(E21:L21)</f>
        <v>0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3">
      <c r="A22" s="3" t="s">
        <v>8</v>
      </c>
      <c r="B22" s="3">
        <v>115</v>
      </c>
      <c r="C22" s="3">
        <f t="shared" si="0"/>
        <v>115</v>
      </c>
      <c r="D22" s="3"/>
      <c r="E22" s="3"/>
      <c r="F22" s="3"/>
      <c r="G22" s="3"/>
      <c r="H22" s="3"/>
      <c r="I22" s="3"/>
      <c r="J22" s="3"/>
      <c r="K22" s="3">
        <v>115</v>
      </c>
      <c r="L22" s="3"/>
      <c r="M22" s="3"/>
      <c r="N22" s="3"/>
    </row>
    <row r="23" spans="1:14" x14ac:dyDescent="0.3">
      <c r="A23" s="3" t="s">
        <v>15</v>
      </c>
      <c r="B23" s="3">
        <v>30</v>
      </c>
      <c r="C23" s="3">
        <f t="shared" si="0"/>
        <v>0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3">
      <c r="A24" s="3" t="s">
        <v>16</v>
      </c>
      <c r="B24" s="3">
        <v>40</v>
      </c>
      <c r="C24" s="3">
        <f t="shared" si="0"/>
        <v>0</v>
      </c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3">
      <c r="A25" s="19" t="s">
        <v>20</v>
      </c>
      <c r="B25" s="19"/>
      <c r="C25" s="3">
        <f t="shared" si="0"/>
        <v>0</v>
      </c>
      <c r="D25" s="10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3">
      <c r="A26" s="3" t="s">
        <v>13</v>
      </c>
      <c r="B26" s="3">
        <v>170</v>
      </c>
      <c r="C26" s="3">
        <f t="shared" si="0"/>
        <v>0</v>
      </c>
      <c r="D26" s="11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3">
      <c r="A27" s="3" t="s">
        <v>14</v>
      </c>
      <c r="B27" s="3">
        <v>384</v>
      </c>
      <c r="C27" s="3">
        <f t="shared" si="0"/>
        <v>0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3">
      <c r="A28" s="3" t="s">
        <v>21</v>
      </c>
      <c r="B28" s="3">
        <v>400</v>
      </c>
      <c r="C28" s="3">
        <f t="shared" si="0"/>
        <v>27</v>
      </c>
      <c r="D28" s="3"/>
      <c r="E28" s="3"/>
      <c r="F28" s="3"/>
      <c r="G28" s="3"/>
      <c r="H28" s="3"/>
      <c r="I28" s="3"/>
      <c r="J28" s="3"/>
      <c r="K28" s="3">
        <v>27</v>
      </c>
      <c r="L28" s="3"/>
      <c r="M28" s="3"/>
      <c r="N28" s="3"/>
    </row>
    <row r="29" spans="1:14" x14ac:dyDescent="0.3">
      <c r="A29" s="3" t="s">
        <v>10</v>
      </c>
      <c r="B29" s="3">
        <v>18</v>
      </c>
      <c r="C29" s="3">
        <f t="shared" si="0"/>
        <v>18</v>
      </c>
      <c r="D29" s="3"/>
      <c r="E29" s="3"/>
      <c r="F29" s="3"/>
      <c r="G29" s="3"/>
      <c r="H29" s="3"/>
      <c r="I29" s="3"/>
      <c r="J29" s="3"/>
      <c r="K29" s="3">
        <v>18</v>
      </c>
      <c r="L29" s="3"/>
      <c r="M29" s="3"/>
      <c r="N29" s="3"/>
    </row>
    <row r="30" spans="1:14" x14ac:dyDescent="0.3">
      <c r="A30" s="19" t="s">
        <v>22</v>
      </c>
      <c r="B30" s="19"/>
      <c r="C30" s="3">
        <f t="shared" si="0"/>
        <v>0</v>
      </c>
      <c r="D30" s="10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3">
      <c r="A31" s="3" t="s">
        <v>17</v>
      </c>
      <c r="B31" s="3">
        <v>500</v>
      </c>
      <c r="C31" s="3">
        <f t="shared" si="0"/>
        <v>0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3">
      <c r="A32" s="3" t="s">
        <v>6</v>
      </c>
      <c r="B32" s="3">
        <v>180</v>
      </c>
      <c r="C32" s="3">
        <f t="shared" si="0"/>
        <v>180</v>
      </c>
      <c r="D32" s="3"/>
      <c r="E32" s="3"/>
      <c r="F32" s="3"/>
      <c r="G32" s="3"/>
      <c r="H32" s="3"/>
      <c r="I32" s="3"/>
      <c r="J32" s="3"/>
      <c r="K32" s="3">
        <v>180</v>
      </c>
      <c r="L32" s="3"/>
      <c r="M32" s="3"/>
      <c r="N32" s="3"/>
    </row>
    <row r="33" spans="1:14" x14ac:dyDescent="0.3">
      <c r="A33" s="3" t="s">
        <v>9</v>
      </c>
      <c r="B33" s="3">
        <v>35</v>
      </c>
      <c r="C33" s="3">
        <f t="shared" si="0"/>
        <v>0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3">
      <c r="A34" s="19" t="s">
        <v>24</v>
      </c>
      <c r="B34" s="19"/>
      <c r="C34" s="3">
        <f t="shared" si="0"/>
        <v>0</v>
      </c>
      <c r="D34" s="10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3">
      <c r="A35" s="3" t="s">
        <v>18</v>
      </c>
      <c r="B35" s="3">
        <v>120</v>
      </c>
      <c r="C35" s="3">
        <f t="shared" si="0"/>
        <v>0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3">
      <c r="A36" s="3" t="s">
        <v>23</v>
      </c>
      <c r="B36" s="3">
        <v>320</v>
      </c>
      <c r="C36" s="3">
        <f t="shared" si="0"/>
        <v>12.96</v>
      </c>
      <c r="D36" s="3"/>
      <c r="E36" s="3"/>
      <c r="F36" s="3"/>
      <c r="G36" s="3"/>
      <c r="H36" s="3"/>
      <c r="I36" s="3"/>
      <c r="J36" s="3"/>
      <c r="K36" s="3">
        <v>12.96</v>
      </c>
      <c r="L36" s="3"/>
      <c r="M36" s="3"/>
      <c r="N36" s="3"/>
    </row>
    <row r="37" spans="1:14" x14ac:dyDescent="0.3">
      <c r="A37" s="3" t="s">
        <v>40</v>
      </c>
      <c r="B37" s="3">
        <v>620</v>
      </c>
      <c r="C37" s="3">
        <f t="shared" si="0"/>
        <v>0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3">
      <c r="A38" s="3" t="s">
        <v>11</v>
      </c>
      <c r="B38" s="3">
        <v>100</v>
      </c>
      <c r="C38" s="3">
        <f t="shared" si="0"/>
        <v>244</v>
      </c>
      <c r="D38" s="3"/>
      <c r="E38" s="3"/>
      <c r="F38" s="3"/>
      <c r="G38" s="3"/>
      <c r="H38" s="3"/>
      <c r="I38" s="3"/>
      <c r="J38" s="3"/>
      <c r="K38" s="3">
        <v>244</v>
      </c>
      <c r="L38" s="3"/>
      <c r="M38" s="3"/>
      <c r="N38" s="3"/>
    </row>
    <row r="39" spans="1:14" x14ac:dyDescent="0.3">
      <c r="A39" s="3" t="s">
        <v>12</v>
      </c>
      <c r="B39" s="3">
        <v>40</v>
      </c>
      <c r="C39" s="3">
        <f t="shared" si="0"/>
        <v>0</v>
      </c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3">
      <c r="A40" s="3" t="s">
        <v>51</v>
      </c>
      <c r="B40" s="3">
        <v>160</v>
      </c>
      <c r="C40" s="3">
        <f t="shared" si="0"/>
        <v>0</v>
      </c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3">
      <c r="A41" s="3" t="s">
        <v>50</v>
      </c>
      <c r="B41" s="3">
        <v>229</v>
      </c>
      <c r="C41" s="3">
        <f t="shared" si="0"/>
        <v>228</v>
      </c>
      <c r="D41" s="3"/>
      <c r="E41" s="3"/>
      <c r="F41" s="3"/>
      <c r="G41" s="3"/>
      <c r="H41" s="3"/>
      <c r="I41" s="3"/>
      <c r="J41" s="3"/>
      <c r="K41" s="3">
        <v>228</v>
      </c>
      <c r="L41" s="3"/>
      <c r="M41" s="3"/>
      <c r="N41" s="3"/>
    </row>
    <row r="42" spans="1:14" x14ac:dyDescent="0.3">
      <c r="A42" s="3" t="s">
        <v>44</v>
      </c>
      <c r="B42" s="3">
        <v>35</v>
      </c>
      <c r="C42" s="3">
        <f t="shared" si="0"/>
        <v>158.94999999999999</v>
      </c>
      <c r="D42" s="3"/>
      <c r="E42" s="3"/>
      <c r="F42" s="3"/>
      <c r="G42" s="3"/>
      <c r="H42" s="3"/>
      <c r="I42" s="3"/>
      <c r="J42" s="3"/>
      <c r="K42" s="3">
        <v>158.94999999999999</v>
      </c>
      <c r="L42" s="3"/>
      <c r="M42" s="3"/>
      <c r="N42" s="3"/>
    </row>
    <row r="43" spans="1:14" x14ac:dyDescent="0.3">
      <c r="A43" s="3" t="s">
        <v>53</v>
      </c>
      <c r="B43" s="3">
        <v>3.85</v>
      </c>
      <c r="C43" s="3">
        <f t="shared" si="0"/>
        <v>3.85</v>
      </c>
      <c r="D43" s="3"/>
      <c r="E43" s="3"/>
      <c r="F43" s="3"/>
      <c r="G43" s="3"/>
      <c r="H43" s="3"/>
      <c r="I43" s="3"/>
      <c r="J43" s="3"/>
      <c r="K43" s="25">
        <v>3.85</v>
      </c>
      <c r="L43" s="3"/>
      <c r="M43" s="3"/>
      <c r="N43" s="3"/>
    </row>
    <row r="44" spans="1:1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3">
      <c r="A57" s="3"/>
      <c r="B57" s="3"/>
      <c r="C57" s="3"/>
      <c r="D57" s="3"/>
      <c r="E57" s="5"/>
      <c r="F57" s="5"/>
      <c r="G57" s="5"/>
      <c r="H57" s="5"/>
      <c r="I57" s="5"/>
      <c r="J57" s="5"/>
      <c r="K57" s="5"/>
      <c r="L57" s="5"/>
      <c r="M57" s="5"/>
      <c r="N57" s="5"/>
    </row>
  </sheetData>
  <mergeCells count="16">
    <mergeCell ref="E5:N5"/>
    <mergeCell ref="A34:B34"/>
    <mergeCell ref="A30:B30"/>
    <mergeCell ref="A25:B25"/>
    <mergeCell ref="A19:B19"/>
    <mergeCell ref="A17:B17"/>
    <mergeCell ref="A7:B7"/>
    <mergeCell ref="E8:F8"/>
    <mergeCell ref="G8:H8"/>
    <mergeCell ref="I8:J8"/>
    <mergeCell ref="K8:L8"/>
    <mergeCell ref="M8:N8"/>
    <mergeCell ref="E18:F18"/>
    <mergeCell ref="G18:H18"/>
    <mergeCell ref="I18:J18"/>
    <mergeCell ref="K18:L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"/>
  <sheetViews>
    <sheetView tabSelected="1" topLeftCell="A7" workbookViewId="0">
      <selection activeCell="C19" sqref="C19"/>
    </sheetView>
  </sheetViews>
  <sheetFormatPr defaultRowHeight="14.4" x14ac:dyDescent="0.3"/>
  <cols>
    <col min="1" max="1" width="20.77734375" bestFit="1" customWidth="1"/>
    <col min="2" max="2" width="10.5546875" bestFit="1" customWidth="1"/>
    <col min="3" max="3" width="9.88671875" customWidth="1"/>
  </cols>
  <sheetData>
    <row r="1" spans="1:4" x14ac:dyDescent="0.3">
      <c r="A1" t="s">
        <v>33</v>
      </c>
    </row>
    <row r="2" spans="1:4" x14ac:dyDescent="0.3">
      <c r="A2" t="s">
        <v>35</v>
      </c>
      <c r="B2" t="s">
        <v>42</v>
      </c>
      <c r="C2" t="s">
        <v>41</v>
      </c>
      <c r="D2" t="s">
        <v>4</v>
      </c>
    </row>
    <row r="3" spans="1:4" x14ac:dyDescent="0.3">
      <c r="A3" t="s">
        <v>44</v>
      </c>
      <c r="B3" s="15">
        <v>41904</v>
      </c>
      <c r="C3" s="2">
        <v>-158.94999999999999</v>
      </c>
    </row>
    <row r="4" spans="1:4" x14ac:dyDescent="0.3">
      <c r="A4" t="s">
        <v>45</v>
      </c>
      <c r="B4" s="15">
        <v>41905</v>
      </c>
      <c r="C4" s="2">
        <v>1099.71</v>
      </c>
    </row>
    <row r="5" spans="1:4" ht="15" x14ac:dyDescent="0.35">
      <c r="A5" s="15" t="s">
        <v>46</v>
      </c>
      <c r="B5" s="17">
        <v>41905</v>
      </c>
      <c r="C5" s="2">
        <v>-2.25</v>
      </c>
    </row>
    <row r="6" spans="1:4" x14ac:dyDescent="0.3">
      <c r="A6" s="16" t="s">
        <v>48</v>
      </c>
      <c r="B6" s="15">
        <v>41905</v>
      </c>
      <c r="C6" s="2">
        <v>-2.2000000000000002</v>
      </c>
    </row>
    <row r="7" spans="1:4" x14ac:dyDescent="0.3">
      <c r="A7" t="s">
        <v>43</v>
      </c>
      <c r="B7" s="15">
        <v>41905</v>
      </c>
      <c r="C7" s="2">
        <v>-27</v>
      </c>
    </row>
    <row r="8" spans="1:4" x14ac:dyDescent="0.3">
      <c r="A8" t="s">
        <v>47</v>
      </c>
      <c r="B8" s="15">
        <v>41905</v>
      </c>
      <c r="C8" s="2">
        <v>-30</v>
      </c>
    </row>
    <row r="9" spans="1:4" x14ac:dyDescent="0.3">
      <c r="A9" t="s">
        <v>49</v>
      </c>
      <c r="B9" s="15">
        <v>41905</v>
      </c>
      <c r="C9" s="2">
        <v>40</v>
      </c>
    </row>
    <row r="10" spans="1:4" x14ac:dyDescent="0.3">
      <c r="A10" t="s">
        <v>50</v>
      </c>
      <c r="B10" s="15">
        <v>41906</v>
      </c>
      <c r="C10" s="2">
        <v>-228</v>
      </c>
    </row>
    <row r="11" spans="1:4" x14ac:dyDescent="0.3">
      <c r="A11" t="s">
        <v>46</v>
      </c>
      <c r="B11" s="15">
        <v>41905</v>
      </c>
      <c r="C11" s="2">
        <v>-3.77</v>
      </c>
    </row>
    <row r="12" spans="1:4" x14ac:dyDescent="0.3">
      <c r="A12" t="s">
        <v>52</v>
      </c>
      <c r="B12" s="15">
        <v>41905</v>
      </c>
      <c r="C12" s="2">
        <v>-4.74</v>
      </c>
    </row>
    <row r="13" spans="1:4" x14ac:dyDescent="0.3">
      <c r="A13" t="s">
        <v>6</v>
      </c>
      <c r="B13" s="15">
        <v>41907</v>
      </c>
      <c r="C13" s="2">
        <v>-180</v>
      </c>
    </row>
    <row r="14" spans="1:4" x14ac:dyDescent="0.3">
      <c r="A14" t="s">
        <v>8</v>
      </c>
      <c r="B14" s="15">
        <v>41906</v>
      </c>
      <c r="C14" s="2">
        <v>-115</v>
      </c>
    </row>
    <row r="15" spans="1:4" x14ac:dyDescent="0.3">
      <c r="A15" t="s">
        <v>53</v>
      </c>
      <c r="B15" s="15">
        <v>41905</v>
      </c>
      <c r="C15" s="2">
        <v>-3.85</v>
      </c>
    </row>
    <row r="16" spans="1:4" x14ac:dyDescent="0.3">
      <c r="A16" t="s">
        <v>55</v>
      </c>
      <c r="B16" s="15">
        <v>41906</v>
      </c>
      <c r="C16" s="2">
        <v>-240</v>
      </c>
    </row>
    <row r="17" spans="1:3" x14ac:dyDescent="0.3">
      <c r="A17" t="s">
        <v>55</v>
      </c>
      <c r="B17" s="15">
        <v>41905</v>
      </c>
      <c r="C17" s="2">
        <v>-4</v>
      </c>
    </row>
    <row r="18" spans="1:3" x14ac:dyDescent="0.3">
      <c r="A18" t="s">
        <v>56</v>
      </c>
      <c r="B18" s="15">
        <v>41905</v>
      </c>
      <c r="C18" s="2">
        <v>-18</v>
      </c>
    </row>
    <row r="19" spans="1:3" x14ac:dyDescent="0.3">
      <c r="C19" s="2"/>
    </row>
    <row r="20" spans="1:3" x14ac:dyDescent="0.3">
      <c r="C20" s="2"/>
    </row>
    <row r="21" spans="1:3" x14ac:dyDescent="0.3">
      <c r="C21" s="2"/>
    </row>
    <row r="22" spans="1:3" x14ac:dyDescent="0.3">
      <c r="C22" s="2"/>
    </row>
    <row r="23" spans="1:3" x14ac:dyDescent="0.3">
      <c r="C23" s="2"/>
    </row>
    <row r="24" spans="1:3" x14ac:dyDescent="0.3">
      <c r="C24" s="2"/>
    </row>
    <row r="25" spans="1:3" x14ac:dyDescent="0.3">
      <c r="C2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September 2014</vt:lpstr>
      <vt:lpstr>September Transactions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Thomas</dc:creator>
  <cp:lastModifiedBy>Zachary Thomas</cp:lastModifiedBy>
  <dcterms:created xsi:type="dcterms:W3CDTF">2014-09-13T17:27:56Z</dcterms:created>
  <dcterms:modified xsi:type="dcterms:W3CDTF">2014-09-24T08:59:46Z</dcterms:modified>
</cp:coreProperties>
</file>